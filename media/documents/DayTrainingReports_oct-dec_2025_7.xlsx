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-dec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8"/>
    </font>
    <font>
      <b val="1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FABF8F"/>
        <bgColor rgb="00FABF8F"/>
      </patternFill>
    </fill>
    <fill>
      <patternFill patternType="solid">
        <fgColor rgb="00D0E0E3"/>
        <bgColor rgb="00D0E0E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5" customWidth="1" min="4" max="4"/>
    <col width="20" customWidth="1" min="5" max="5"/>
    <col width="25" customWidth="1" min="6" max="6"/>
    <col width="35" customWidth="1" min="7" max="7"/>
    <col width="20" customWidth="1" min="8" max="8"/>
    <col width="25" customWidth="1" min="9" max="9"/>
    <col width="35" customWidth="1" min="10" max="10"/>
    <col width="2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5" customWidth="1" min="21" max="21"/>
    <col width="15" customWidth="1" min="22" max="22"/>
    <col width="15" customWidth="1" min="23" max="23"/>
    <col width="20" customWidth="1" min="24" max="24"/>
    <col width="15" customWidth="1" min="25" max="25"/>
    <col width="8" customWidth="1" min="26" max="26"/>
    <col width="15" customWidth="1" min="27" max="27"/>
    <col width="15" customWidth="1" min="28" max="28"/>
    <col width="15" customWidth="1" min="29" max="29"/>
    <col width="10" customWidth="1" min="30" max="30"/>
    <col width="12" customWidth="1" min="31" max="31"/>
    <col width="15" customWidth="1" min="32" max="32"/>
    <col width="15" customWidth="1" min="33" max="33"/>
    <col width="8" customWidth="1" min="34" max="34"/>
    <col width="15" customWidth="1" min="35" max="35"/>
    <col width="15" customWidth="1" min="36" max="36"/>
    <col width="8" customWidth="1" min="37" max="37"/>
    <col width="10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10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10" customWidth="1" min="50" max="50"/>
    <col width="15" customWidth="1" min="51" max="51"/>
    <col width="20" customWidth="1" min="52" max="52"/>
    <col width="18" customWidth="1" min="53" max="53"/>
    <col width="18" customWidth="1" min="54" max="54"/>
    <col width="20" customWidth="1" min="55" max="55"/>
    <col width="18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 ht="30" customHeight="1">
      <c r="A1" s="1" t="inlineStr">
        <is>
          <t>Cavite State University – Day Training Reports (OCT-DEC 2025)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</row>
    <row r="2" ht="40" customHeight="1">
      <c r="A2" s="3" t="inlineStr">
        <is>
          <t>Training No.</t>
        </is>
      </c>
      <c r="B2" s="3" t="inlineStr">
        <is>
          <t>Code</t>
        </is>
      </c>
      <c r="C2" s="3" t="inlineStr">
        <is>
          <t>Lead Unit</t>
        </is>
      </c>
      <c r="D2" s="2" t="n"/>
      <c r="E2" s="2" t="n"/>
      <c r="F2" s="3" t="inlineStr">
        <is>
          <t>Related Curricular Offering</t>
        </is>
      </c>
      <c r="G2" s="3" t="inlineStr">
        <is>
          <t>Collaborating Agency/ies</t>
        </is>
      </c>
      <c r="H2" s="3" t="inlineStr">
        <is>
          <t>Contact Person / Training Coordinator</t>
        </is>
      </c>
      <c r="I2" s="3" t="inlineStr">
        <is>
          <t>Project No.</t>
        </is>
      </c>
      <c r="J2" s="3" t="inlineStr">
        <is>
          <t>Category</t>
        </is>
      </c>
      <c r="K2" s="3" t="inlineStr">
        <is>
          <t>Title of Training</t>
        </is>
      </c>
      <c r="L2" s="3" t="inlineStr">
        <is>
          <t>Inclusive Dates</t>
        </is>
      </c>
      <c r="M2" s="3" t="inlineStr">
        <is>
          <t>Venue</t>
        </is>
      </c>
      <c r="N2" s="3" t="inlineStr">
        <is>
          <t>No. of Participants by Sex</t>
        </is>
      </c>
      <c r="O2" s="2" t="n"/>
      <c r="P2" s="2" t="n"/>
      <c r="Q2" s="3" t="inlineStr">
        <is>
          <t>No. of Participants by Category</t>
        </is>
      </c>
      <c r="R2" s="2" t="n"/>
      <c r="S2" s="2" t="n"/>
      <c r="T2" s="2" t="n"/>
      <c r="U2" s="2" t="n"/>
      <c r="V2" s="2" t="n"/>
      <c r="W2" s="2" t="n"/>
      <c r="X2" s="2" t="n"/>
      <c r="Y2" s="3" t="inlineStr">
        <is>
          <t>For TVL Trainings Only</t>
        </is>
      </c>
      <c r="Z2" s="2" t="n"/>
      <c r="AA2" s="2" t="n"/>
      <c r="AB2" s="2" t="n"/>
      <c r="AC2" s="3" t="inlineStr">
        <is>
          <t>Total Persons Trained</t>
        </is>
      </c>
      <c r="AD2" s="3" t="inlineStr">
        <is>
          <t>Number of Days Trained</t>
        </is>
      </c>
      <c r="AE2" s="2" t="n"/>
      <c r="AF2" s="2" t="n"/>
      <c r="AG2" s="2" t="n"/>
      <c r="AH2" s="2" t="n"/>
      <c r="AI2" s="3" t="inlineStr">
        <is>
          <t>Number of days trained per weight of training</t>
        </is>
      </c>
      <c r="AJ2" s="3" t="inlineStr">
        <is>
          <t>Total No. of trainees surveyed</t>
        </is>
      </c>
      <c r="AK2" s="3" t="inlineStr">
        <is>
          <t>Client’s Rating (Relevance)</t>
        </is>
      </c>
      <c r="AL2" s="2" t="n"/>
      <c r="AM2" s="2" t="n"/>
      <c r="AN2" s="2" t="n"/>
      <c r="AO2" s="2" t="n"/>
      <c r="AP2" s="2" t="n"/>
      <c r="AQ2" s="3" t="inlineStr">
        <is>
          <t>Client’s Rating (Quality)</t>
        </is>
      </c>
      <c r="AR2" s="2" t="n"/>
      <c r="AS2" s="2" t="n"/>
      <c r="AT2" s="2" t="n"/>
      <c r="AU2" s="2" t="n"/>
      <c r="AV2" s="2" t="n"/>
      <c r="AW2" s="3" t="inlineStr">
        <is>
          <t>Client’s Rating (Timeliness)</t>
        </is>
      </c>
      <c r="AX2" s="2" t="n"/>
      <c r="AY2" s="2" t="n"/>
      <c r="AZ2" s="2" t="n"/>
      <c r="BA2" s="2" t="n"/>
      <c r="BB2" s="2" t="n"/>
      <c r="BC2" s="3" t="inlineStr">
        <is>
          <t>Overall Avg</t>
        </is>
      </c>
      <c r="BD2" s="3" t="inlineStr">
        <is>
          <t>Total number of clients requesting trainings</t>
        </is>
      </c>
      <c r="BE2" s="3" t="inlineStr">
        <is>
          <t>Total number of requests for trainings responded in the next 3 days</t>
        </is>
      </c>
      <c r="BF2" s="3" t="inlineStr">
        <is>
          <t>Estimated Expenses and Source of Fund</t>
        </is>
      </c>
      <c r="BG2" s="2" t="n"/>
      <c r="BH2" s="2" t="n"/>
      <c r="BI2" s="2" t="n"/>
    </row>
    <row r="3" ht="55" customHeight="1">
      <c r="A3" s="2" t="n"/>
      <c r="B3" s="2" t="n"/>
      <c r="C3" s="4" t="inlineStr">
        <is>
          <t>Department / Unit</t>
        </is>
      </c>
      <c r="D3" s="4" t="inlineStr">
        <is>
          <t>Contact Person / Training Coordinator</t>
        </is>
      </c>
      <c r="E3" s="4" t="inlineStr">
        <is>
          <t>Number / Email</t>
        </is>
      </c>
      <c r="F3" s="4" t="inlineStr">
        <is>
          <t>e.g. BS Agriculture</t>
        </is>
      </c>
      <c r="G3" s="2" t="n"/>
      <c r="H3" s="4" t="inlineStr">
        <is>
          <t>Training Coordinator</t>
        </is>
      </c>
      <c r="I3" s="4" t="inlineStr">
        <is>
          <t>Use no. indicated under Internally Funded Extension Projects and Externally Funded Projects; indicate NA if not under a project</t>
        </is>
      </c>
      <c r="J3" s="4" t="inlineStr">
        <is>
          <t>TVL–technical, vocational, livelihood; AE–agricultural and environmental trainings; CE–continuing education for professionals; BE–basic education; GAD–Gender and Development; O–others</t>
        </is>
      </c>
      <c r="K3" s="2" t="n"/>
      <c r="L3" s="2" t="n"/>
      <c r="M3" s="2" t="n"/>
      <c r="N3" s="4" t="inlineStr">
        <is>
          <t>Male</t>
        </is>
      </c>
      <c r="O3" s="4" t="inlineStr">
        <is>
          <t>Female</t>
        </is>
      </c>
      <c r="P3" s="4" t="inlineStr">
        <is>
          <t>Total</t>
        </is>
      </c>
      <c r="Q3" s="4" t="inlineStr">
        <is>
          <t>Student</t>
        </is>
      </c>
      <c r="R3" s="4" t="inlineStr">
        <is>
          <t>Farmer</t>
        </is>
      </c>
      <c r="S3" s="4" t="inlineStr">
        <is>
          <t>Fisherfolk</t>
        </is>
      </c>
      <c r="T3" s="4" t="inlineStr">
        <is>
          <t>Agric. Tech</t>
        </is>
      </c>
      <c r="U3" s="4" t="inlineStr">
        <is>
          <t>Govt Emp</t>
        </is>
      </c>
      <c r="V3" s="4" t="inlineStr">
        <is>
          <t>Priv Emp</t>
        </is>
      </c>
      <c r="W3" s="4" t="inlineStr">
        <is>
          <t>Other</t>
        </is>
      </c>
      <c r="X3" s="4" t="inlineStr">
        <is>
          <t>Total</t>
        </is>
      </c>
      <c r="Y3" s="4" t="inlineStr">
        <is>
          <t>Solo Parent</t>
        </is>
      </c>
      <c r="Z3" s="4" t="inlineStr">
        <is>
          <t>4Ps</t>
        </is>
      </c>
      <c r="AA3" s="4" t="inlineStr">
        <is>
          <t>PWD</t>
        </is>
      </c>
      <c r="AB3" s="4" t="inlineStr">
        <is>
          <t>Type of Disability</t>
        </is>
      </c>
      <c r="AC3" s="2" t="n"/>
      <c r="AD3" s="4" t="inlineStr">
        <is>
          <t>5</t>
        </is>
      </c>
      <c r="AE3" s="4" t="inlineStr">
        <is>
          <t>3-4</t>
        </is>
      </c>
      <c r="AF3" s="4" t="inlineStr">
        <is>
          <t>2</t>
        </is>
      </c>
      <c r="AG3" s="4" t="inlineStr">
        <is>
          <t>1</t>
        </is>
      </c>
      <c r="AH3" s="4" t="inlineStr">
        <is>
          <t>&lt;8hrs</t>
        </is>
      </c>
      <c r="AI3" s="2" t="n"/>
      <c r="AJ3" s="2" t="n"/>
      <c r="AK3" s="4" t="inlineStr">
        <is>
          <t>5</t>
        </is>
      </c>
      <c r="AL3" s="4" t="inlineStr">
        <is>
          <t>4</t>
        </is>
      </c>
      <c r="AM3" s="4" t="inlineStr">
        <is>
          <t>3</t>
        </is>
      </c>
      <c r="AN3" s="4" t="inlineStr">
        <is>
          <t>2</t>
        </is>
      </c>
      <c r="AO3" s="4" t="inlineStr">
        <is>
          <t>1</t>
        </is>
      </c>
      <c r="AP3" s="4" t="inlineStr">
        <is>
          <t>Avg</t>
        </is>
      </c>
      <c r="AQ3" s="4" t="inlineStr">
        <is>
          <t>5</t>
        </is>
      </c>
      <c r="AR3" s="4" t="inlineStr">
        <is>
          <t>4</t>
        </is>
      </c>
      <c r="AS3" s="4" t="inlineStr">
        <is>
          <t>3</t>
        </is>
      </c>
      <c r="AT3" s="4" t="inlineStr">
        <is>
          <t>2</t>
        </is>
      </c>
      <c r="AU3" s="4" t="inlineStr">
        <is>
          <t>1</t>
        </is>
      </c>
      <c r="AV3" s="4" t="inlineStr">
        <is>
          <t>Avg</t>
        </is>
      </c>
      <c r="AW3" s="4" t="inlineStr">
        <is>
          <t>5</t>
        </is>
      </c>
      <c r="AX3" s="4" t="inlineStr">
        <is>
          <t>4</t>
        </is>
      </c>
      <c r="AY3" s="4" t="inlineStr">
        <is>
          <t>3</t>
        </is>
      </c>
      <c r="AZ3" s="4" t="inlineStr">
        <is>
          <t>2</t>
        </is>
      </c>
      <c r="BA3" s="4" t="inlineStr">
        <is>
          <t>1</t>
        </is>
      </c>
      <c r="BB3" s="4" t="inlineStr">
        <is>
          <t>Avg</t>
        </is>
      </c>
      <c r="BC3" s="2" t="n"/>
      <c r="BD3" s="2" t="n"/>
      <c r="BE3" s="2" t="n"/>
      <c r="BF3" s="4" t="inlineStr">
        <is>
          <t>Amount Charged to CvSU (campus/college/unit)</t>
        </is>
      </c>
      <c r="BG3" s="4" t="inlineStr">
        <is>
          <t>Amount Charged to Partner Agency (PhP)</t>
        </is>
      </c>
      <c r="BH3" s="4" t="inlineStr">
        <is>
          <t>Total Estimated Expense</t>
        </is>
      </c>
      <c r="BI3" s="2" t="n"/>
    </row>
    <row r="4" ht="70" customHeight="1">
      <c r="A4" s="5" t="n">
        <v>1</v>
      </c>
      <c r="B4" s="5" t="inlineStr"/>
      <c r="C4" s="5" t="inlineStr">
        <is>
          <t>DEPARTMENT OF ARTS AND SCIENCES</t>
        </is>
      </c>
      <c r="D4" s="5" t="inlineStr">
        <is>
          <t>Anarose M. Rupido</t>
        </is>
      </c>
      <c r="E4" s="5" t="inlineStr">
        <is>
          <t>DAS@gmail.com</t>
        </is>
      </c>
      <c r="F4" s="5" t="inlineStr">
        <is>
          <t>Bachelor of Science in Arts and Sciences</t>
        </is>
      </c>
      <c r="G4" s="5" t="inlineStr">
        <is>
          <t>BJMP</t>
        </is>
      </c>
      <c r="H4" s="5" t="inlineStr">
        <is>
          <t>Anarose M. Rupido</t>
        </is>
      </c>
      <c r="I4" s="5" t="inlineStr">
        <is>
          <t>Internal Funded Extension Projects</t>
        </is>
      </c>
      <c r="J4" s="5" t="inlineStr"/>
      <c r="K4" s="5" t="inlineStr">
        <is>
          <t>Session 1: 𝗣𝗲𝗿𝗳𝘂𝗺𝗲 𝗖𝗼𝘀𝘁𝗶𝗻𝗴 𝗧𝗿𝗮𝗶𝗻𝗶𝗻𝗴</t>
        </is>
      </c>
      <c r="L4" s="5" t="inlineStr">
        <is>
          <t>April 12, 2025</t>
        </is>
      </c>
      <c r="M4" s="5" t="inlineStr">
        <is>
          <t>BJMP</t>
        </is>
      </c>
      <c r="N4" s="5" t="n">
        <v>21</v>
      </c>
      <c r="O4" s="5" t="n">
        <v>29</v>
      </c>
      <c r="P4" s="5" t="n">
        <v>9</v>
      </c>
      <c r="Q4" s="5" t="n">
        <v>3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5" t="n">
        <v>1</v>
      </c>
      <c r="X4" s="5" t="n">
        <v>9</v>
      </c>
      <c r="Y4" s="5" t="n">
        <v>2</v>
      </c>
      <c r="Z4" s="5" t="n"/>
      <c r="AA4" s="5" t="n">
        <v>3</v>
      </c>
      <c r="AB4" s="5" t="inlineStr">
        <is>
          <t>blind</t>
        </is>
      </c>
      <c r="AC4" s="5" t="n">
        <v>9</v>
      </c>
      <c r="AD4" s="5" t="inlineStr"/>
      <c r="AE4" s="5" t="inlineStr"/>
      <c r="AF4" s="5" t="inlineStr"/>
      <c r="AG4" s="5" t="inlineStr"/>
      <c r="AH4" s="5" t="inlineStr"/>
      <c r="AI4" s="5" t="n">
        <v>4.5</v>
      </c>
      <c r="AJ4" s="5" t="n">
        <v>50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>
        <f>(AK4*5+AL4*4+AM4*3+AN4*2+AO4*1)/AJ4</f>
        <v/>
      </c>
      <c r="AQ4" s="5" t="n">
        <v>10</v>
      </c>
      <c r="AR4" s="5" t="n">
        <v>10</v>
      </c>
      <c r="AS4" s="5" t="n">
        <v>10</v>
      </c>
      <c r="AT4" s="5" t="n">
        <v>10</v>
      </c>
      <c r="AU4" s="5" t="n">
        <v>10</v>
      </c>
      <c r="AV4" s="6">
        <f>(AQ4*5+AR4*4+AS4*3+AT4*2+AU4*1)/AJ4</f>
        <v/>
      </c>
      <c r="AW4" s="5" t="n">
        <v>10</v>
      </c>
      <c r="AX4" s="5" t="n">
        <v>10</v>
      </c>
      <c r="AY4" s="5" t="n">
        <v>10</v>
      </c>
      <c r="AZ4" s="5" t="n">
        <v>10</v>
      </c>
      <c r="BA4" s="5" t="n">
        <v>10</v>
      </c>
      <c r="BB4" s="6">
        <f>(AW4*5+AX4*4+AY4*3+AZ4*2+BA4*1)/AJ4</f>
        <v/>
      </c>
      <c r="BC4" s="7">
        <f>AVERAGE(AP4,AV4,BB4)</f>
        <v/>
      </c>
      <c r="BD4" s="5" t="inlineStr"/>
      <c r="BE4" s="5" t="inlineStr"/>
      <c r="BF4" s="5" t="inlineStr">
        <is>
          <t>P 31,500.00</t>
        </is>
      </c>
      <c r="BG4" s="5" t="inlineStr">
        <is>
          <t>p 20,000.00</t>
        </is>
      </c>
      <c r="BH4" s="5" t="inlineStr"/>
      <c r="BI4" s="2" t="n"/>
    </row>
    <row r="5" ht="70" customHeight="1">
      <c r="A5" s="8" t="n">
        <v>2</v>
      </c>
      <c r="B5" s="8" t="inlineStr"/>
      <c r="C5" s="8" t="inlineStr">
        <is>
          <t>DEPARTMENT OF COMPUTER STUDIES</t>
        </is>
      </c>
      <c r="D5" s="8" t="inlineStr">
        <is>
          <t>Alvina E Ramallosa</t>
        </is>
      </c>
      <c r="E5" s="8" t="inlineStr">
        <is>
          <t>estiradenniel003@gmail.com</t>
        </is>
      </c>
      <c r="F5" s="8" t="inlineStr">
        <is>
          <t>Bachelor of Science in Computer Science, Bachelor of Science in Information Technology</t>
        </is>
      </c>
      <c r="G5" s="8" t="inlineStr">
        <is>
          <t>BJMP</t>
        </is>
      </c>
      <c r="H5" s="8" t="inlineStr">
        <is>
          <t>Alvina E Ramallosa</t>
        </is>
      </c>
      <c r="I5" s="8" t="inlineStr">
        <is>
          <t>Internal Funded Extension Projects</t>
        </is>
      </c>
      <c r="J5" s="8" t="inlineStr"/>
      <c r="K5" s="8" t="inlineStr">
        <is>
          <t>Session 1: 𝗣𝗲𝗿𝗳𝘂𝗺𝗲 𝗖𝗼𝘀𝘁𝗶𝗻𝗴 𝗧𝗿𝗮𝗶𝗻𝗶𝗻𝗴</t>
        </is>
      </c>
      <c r="L5" s="8" t="inlineStr">
        <is>
          <t>April 12, 2025</t>
        </is>
      </c>
      <c r="M5" s="8" t="inlineStr">
        <is>
          <t>BJMP</t>
        </is>
      </c>
      <c r="N5" s="8" t="n">
        <v>21</v>
      </c>
      <c r="O5" s="8" t="n">
        <v>29</v>
      </c>
      <c r="P5" s="8" t="n">
        <v>9</v>
      </c>
      <c r="Q5" s="8" t="n">
        <v>3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9</v>
      </c>
      <c r="Y5" s="8" t="n">
        <v>2</v>
      </c>
      <c r="Z5" s="8" t="n"/>
      <c r="AA5" s="8" t="n">
        <v>3</v>
      </c>
      <c r="AB5" s="8" t="inlineStr">
        <is>
          <t>blind</t>
        </is>
      </c>
      <c r="AC5" s="8" t="n">
        <v>9</v>
      </c>
      <c r="AD5" s="8" t="inlineStr"/>
      <c r="AE5" s="8" t="inlineStr"/>
      <c r="AF5" s="8" t="inlineStr"/>
      <c r="AG5" s="8" t="inlineStr"/>
      <c r="AH5" s="8" t="inlineStr"/>
      <c r="AI5" s="8" t="n">
        <v>4.5</v>
      </c>
      <c r="AJ5" s="8" t="n">
        <v>50</v>
      </c>
      <c r="AK5" s="8" t="n">
        <v>10</v>
      </c>
      <c r="AL5" s="8" t="n">
        <v>10</v>
      </c>
      <c r="AM5" s="8" t="n">
        <v>10</v>
      </c>
      <c r="AN5" s="8" t="n">
        <v>10</v>
      </c>
      <c r="AO5" s="8" t="n">
        <v>10</v>
      </c>
      <c r="AP5" s="6">
        <f>(AK5*5+AL5*4+AM5*3+AN5*2+AO5*1)/AJ5</f>
        <v/>
      </c>
      <c r="AQ5" s="8" t="n">
        <v>10</v>
      </c>
      <c r="AR5" s="8" t="n">
        <v>10</v>
      </c>
      <c r="AS5" s="8" t="n">
        <v>10</v>
      </c>
      <c r="AT5" s="8" t="n">
        <v>10</v>
      </c>
      <c r="AU5" s="8" t="n">
        <v>10</v>
      </c>
      <c r="AV5" s="6">
        <f>(AQ5*5+AR5*4+AS5*3+AT5*2+AU5*1)/AJ5</f>
        <v/>
      </c>
      <c r="AW5" s="8" t="n">
        <v>10</v>
      </c>
      <c r="AX5" s="8" t="n">
        <v>10</v>
      </c>
      <c r="AY5" s="8" t="n">
        <v>10</v>
      </c>
      <c r="AZ5" s="8" t="n">
        <v>10</v>
      </c>
      <c r="BA5" s="8" t="n">
        <v>10</v>
      </c>
      <c r="BB5" s="6">
        <f>(AW5*5+AX5*4+AY5*3+AZ5*2+BA5*1)/AJ5</f>
        <v/>
      </c>
      <c r="BC5" s="7">
        <f>AVERAGE(AP5,AV5,BB5)</f>
        <v/>
      </c>
      <c r="BD5" s="8" t="inlineStr"/>
      <c r="BE5" s="8" t="inlineStr"/>
      <c r="BF5" s="8" t="inlineStr">
        <is>
          <t>P 31,500.00</t>
        </is>
      </c>
      <c r="BG5" s="8" t="inlineStr">
        <is>
          <t>p 20,000.00</t>
        </is>
      </c>
      <c r="BH5" s="8" t="inlineStr"/>
      <c r="BI5" s="2" t="n"/>
    </row>
    <row r="6" ht="70" customHeight="1">
      <c r="A6" s="8" t="n">
        <v>3</v>
      </c>
      <c r="B6" s="8" t="inlineStr"/>
      <c r="C6" s="8" t="inlineStr">
        <is>
          <t>DEPARTMENT OF COMPUTER STUDIES</t>
        </is>
      </c>
      <c r="D6" s="8" t="inlineStr">
        <is>
          <t>Alvina E Ramallosa</t>
        </is>
      </c>
      <c r="E6" s="8" t="inlineStr">
        <is>
          <t>estiradenniel003@gmail.com</t>
        </is>
      </c>
      <c r="F6" s="8" t="inlineStr">
        <is>
          <t>Bachelor of Science in Computer Science, Bachelor of Science in Information Technology</t>
        </is>
      </c>
      <c r="G6" s="8" t="inlineStr">
        <is>
          <t>BJMP</t>
        </is>
      </c>
      <c r="H6" s="8" t="inlineStr">
        <is>
          <t>Alvina E Ramallosa</t>
        </is>
      </c>
      <c r="I6" s="8" t="inlineStr">
        <is>
          <t>Internal Funded Extension Projects</t>
        </is>
      </c>
      <c r="J6" s="8" t="inlineStr">
        <is>
          <t>BE</t>
        </is>
      </c>
      <c r="K6" s="8" t="inlineStr">
        <is>
          <t>Session 1: 𝗣𝗲𝗿𝗳𝘂𝗺𝗲 𝗖𝗼𝘀𝘁𝗶𝗻𝗴 𝗧𝗿𝗮𝗶𝗻𝗶𝗻𝗴</t>
        </is>
      </c>
      <c r="L6" s="8" t="inlineStr">
        <is>
          <t>April 12, 2025</t>
        </is>
      </c>
      <c r="M6" s="8" t="inlineStr">
        <is>
          <t>BJMP</t>
        </is>
      </c>
      <c r="N6" s="8" t="n">
        <v>21</v>
      </c>
      <c r="O6" s="8" t="n">
        <v>29</v>
      </c>
      <c r="P6" s="8" t="n">
        <v>50</v>
      </c>
      <c r="Q6" s="8" t="n">
        <v>3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50</v>
      </c>
      <c r="Y6" s="8" t="n">
        <v>2</v>
      </c>
      <c r="Z6" s="8" t="n"/>
      <c r="AA6" s="8" t="n">
        <v>3</v>
      </c>
      <c r="AB6" s="8" t="inlineStr">
        <is>
          <t>blind</t>
        </is>
      </c>
      <c r="AC6" s="8" t="n">
        <v>50</v>
      </c>
      <c r="AD6" s="8" t="inlineStr"/>
      <c r="AE6" s="8" t="inlineStr"/>
      <c r="AF6" s="8" t="inlineStr"/>
      <c r="AG6" s="8" t="inlineStr"/>
      <c r="AH6" s="8" t="inlineStr"/>
      <c r="AI6" s="8" t="n">
        <v>25</v>
      </c>
      <c r="AJ6" s="8" t="n">
        <v>50</v>
      </c>
      <c r="AK6" s="8" t="n">
        <v>10</v>
      </c>
      <c r="AL6" s="8" t="n">
        <v>10</v>
      </c>
      <c r="AM6" s="8" t="n">
        <v>10</v>
      </c>
      <c r="AN6" s="8" t="n">
        <v>10</v>
      </c>
      <c r="AO6" s="8" t="n">
        <v>10</v>
      </c>
      <c r="AP6" s="6">
        <f>(AK6*5+AL6*4+AM6*3+AN6*2+AO6*1)/AJ6</f>
        <v/>
      </c>
      <c r="AQ6" s="8" t="n">
        <v>10</v>
      </c>
      <c r="AR6" s="8" t="n">
        <v>10</v>
      </c>
      <c r="AS6" s="8" t="n">
        <v>10</v>
      </c>
      <c r="AT6" s="8" t="n">
        <v>10</v>
      </c>
      <c r="AU6" s="8" t="n">
        <v>10</v>
      </c>
      <c r="AV6" s="6">
        <f>(AQ6*5+AR6*4+AS6*3+AT6*2+AU6*1)/AJ6</f>
        <v/>
      </c>
      <c r="AW6" s="8" t="n">
        <v>10</v>
      </c>
      <c r="AX6" s="8" t="n">
        <v>10</v>
      </c>
      <c r="AY6" s="8" t="n">
        <v>10</v>
      </c>
      <c r="AZ6" s="8" t="n">
        <v>10</v>
      </c>
      <c r="BA6" s="8" t="n">
        <v>10</v>
      </c>
      <c r="BB6" s="6">
        <f>(AW6*5+AX6*4+AY6*3+AZ6*2+BA6*1)/AJ6</f>
        <v/>
      </c>
      <c r="BC6" s="7">
        <f>AVERAGE(AP6,AV6,BB6)</f>
        <v/>
      </c>
      <c r="BD6" s="8" t="inlineStr"/>
      <c r="BE6" s="8" t="inlineStr"/>
      <c r="BF6" s="8" t="inlineStr">
        <is>
          <t>P 31,500.00</t>
        </is>
      </c>
      <c r="BG6" s="8" t="inlineStr">
        <is>
          <t>p 20,000.00</t>
        </is>
      </c>
      <c r="BH6" s="8" t="inlineStr"/>
      <c r="BI6" s="2" t="n"/>
    </row>
    <row r="7" ht="70" customHeight="1">
      <c r="A7" s="8" t="n">
        <v>4</v>
      </c>
      <c r="B7" s="8" t="inlineStr"/>
      <c r="C7" s="8" t="inlineStr">
        <is>
          <t>DEPARTMENT OF COMPUTER STUDIES</t>
        </is>
      </c>
      <c r="D7" s="8" t="inlineStr">
        <is>
          <t>Alvina E Ramallosa</t>
        </is>
      </c>
      <c r="E7" s="8" t="inlineStr">
        <is>
          <t>estiradenniel003@gmail.com</t>
        </is>
      </c>
      <c r="F7" s="8" t="inlineStr">
        <is>
          <t>Bachelor of Science in Computer Science, Bachelor of Science in Information Technology</t>
        </is>
      </c>
      <c r="G7" s="8" t="inlineStr">
        <is>
          <t>BJMP</t>
        </is>
      </c>
      <c r="H7" s="8" t="inlineStr">
        <is>
          <t>Alvina E Ramallosa</t>
        </is>
      </c>
      <c r="I7" s="8" t="inlineStr">
        <is>
          <t>Internal Funded Extension Projects</t>
        </is>
      </c>
      <c r="J7" s="8" t="inlineStr"/>
      <c r="K7" s="8" t="inlineStr">
        <is>
          <t>CRIM Preliminaries and First Aid Training at Disaster Risk Reduction Management Office- Bacoor Government Center</t>
        </is>
      </c>
      <c r="L7" s="8" t="inlineStr">
        <is>
          <t>December 1-5, 2025</t>
        </is>
      </c>
      <c r="M7" s="8" t="inlineStr">
        <is>
          <t>BJMP</t>
        </is>
      </c>
      <c r="N7" s="8" t="n">
        <v>21</v>
      </c>
      <c r="O7" s="8" t="n">
        <v>29</v>
      </c>
      <c r="P7" s="8" t="n">
        <v>9</v>
      </c>
      <c r="Q7" s="8" t="n">
        <v>3</v>
      </c>
      <c r="R7" s="8" t="n">
        <v>1</v>
      </c>
      <c r="S7" s="8" t="n">
        <v>1</v>
      </c>
      <c r="T7" s="8" t="n">
        <v>1</v>
      </c>
      <c r="U7" s="8" t="n">
        <v>1</v>
      </c>
      <c r="V7" s="8" t="n">
        <v>1</v>
      </c>
      <c r="W7" s="8" t="n">
        <v>1</v>
      </c>
      <c r="X7" s="8" t="n">
        <v>9</v>
      </c>
      <c r="Y7" s="8" t="n">
        <v>2</v>
      </c>
      <c r="Z7" s="8" t="n"/>
      <c r="AA7" s="8" t="n">
        <v>3</v>
      </c>
      <c r="AB7" s="8" t="inlineStr">
        <is>
          <t>blind</t>
        </is>
      </c>
      <c r="AC7" s="8" t="n">
        <v>9</v>
      </c>
      <c r="AD7" s="8" t="inlineStr"/>
      <c r="AE7" s="8" t="inlineStr"/>
      <c r="AF7" s="8" t="inlineStr"/>
      <c r="AG7" s="8" t="inlineStr"/>
      <c r="AH7" s="8" t="inlineStr"/>
      <c r="AI7" s="8" t="n">
        <v>4.5</v>
      </c>
      <c r="AJ7" s="8" t="n">
        <v>50</v>
      </c>
      <c r="AK7" s="8" t="n">
        <v>30</v>
      </c>
      <c r="AL7" s="8" t="n">
        <v>20</v>
      </c>
      <c r="AM7" s="8" t="n">
        <v>0</v>
      </c>
      <c r="AN7" s="8" t="n">
        <v>0</v>
      </c>
      <c r="AO7" s="8" t="n">
        <v>0</v>
      </c>
      <c r="AP7" s="6">
        <f>(AK7*5+AL7*4+AM7*3+AN7*2+AO7*1)/AJ7</f>
        <v/>
      </c>
      <c r="AQ7" s="8" t="n">
        <v>10</v>
      </c>
      <c r="AR7" s="8" t="n">
        <v>10</v>
      </c>
      <c r="AS7" s="8" t="n">
        <v>10</v>
      </c>
      <c r="AT7" s="8" t="n">
        <v>10</v>
      </c>
      <c r="AU7" s="8" t="n">
        <v>10</v>
      </c>
      <c r="AV7" s="6">
        <f>(AQ7*5+AR7*4+AS7*3+AT7*2+AU7*1)/AJ7</f>
        <v/>
      </c>
      <c r="AW7" s="8" t="n">
        <v>10</v>
      </c>
      <c r="AX7" s="8" t="n">
        <v>10</v>
      </c>
      <c r="AY7" s="8" t="n">
        <v>10</v>
      </c>
      <c r="AZ7" s="8" t="n">
        <v>10</v>
      </c>
      <c r="BA7" s="8" t="n">
        <v>10</v>
      </c>
      <c r="BB7" s="6">
        <f>(AW7*5+AX7*4+AY7*3+AZ7*2+BA7*1)/AJ7</f>
        <v/>
      </c>
      <c r="BC7" s="7">
        <f>AVERAGE(AP7,AV7,BB7)</f>
        <v/>
      </c>
      <c r="BD7" s="8" t="inlineStr"/>
      <c r="BE7" s="8" t="inlineStr"/>
      <c r="BF7" s="8" t="inlineStr">
        <is>
          <t>P 31,500.00</t>
        </is>
      </c>
      <c r="BG7" s="8" t="inlineStr">
        <is>
          <t>12,000</t>
        </is>
      </c>
      <c r="BH7" s="8" t="inlineStr"/>
      <c r="BI7" s="2" t="n"/>
    </row>
    <row r="8" ht="70" customHeight="1">
      <c r="A8" s="9" t="n">
        <v>5</v>
      </c>
      <c r="B8" s="9" t="inlineStr"/>
      <c r="C8" s="9" t="inlineStr">
        <is>
          <t>DEPARTMENT OF CRIMINOLOGY</t>
        </is>
      </c>
      <c r="D8" s="9" t="inlineStr">
        <is>
          <t>Arman C. Maribojo</t>
        </is>
      </c>
      <c r="E8" s="9" t="inlineStr">
        <is>
          <t>DC@gmail.com</t>
        </is>
      </c>
      <c r="F8" s="9" t="inlineStr">
        <is>
          <t>Bachelor of Science in Criminology</t>
        </is>
      </c>
      <c r="G8" s="9" t="inlineStr">
        <is>
          <t>CANVA</t>
        </is>
      </c>
      <c r="H8" s="9" t="inlineStr">
        <is>
          <t>Arman C. Maribojo</t>
        </is>
      </c>
      <c r="I8" s="9" t="inlineStr">
        <is>
          <t>Internal Funded Extension Projects</t>
        </is>
      </c>
      <c r="J8" s="9" t="inlineStr"/>
      <c r="K8" s="9" t="inlineStr">
        <is>
          <t>CLASSES Consultative Meeting at Mambog Elementary School</t>
        </is>
      </c>
      <c r="L8" s="9" t="inlineStr">
        <is>
          <t>June 9, 2025</t>
        </is>
      </c>
      <c r="M8" s="9" t="inlineStr">
        <is>
          <t>3rd Floor, CvSU Bacoor New Academic building</t>
        </is>
      </c>
      <c r="N8" s="9" t="n">
        <v>21</v>
      </c>
      <c r="O8" s="9" t="n">
        <v>29</v>
      </c>
      <c r="P8" s="9" t="n">
        <v>9</v>
      </c>
      <c r="Q8" s="9" t="n">
        <v>3</v>
      </c>
      <c r="R8" s="9" t="n">
        <v>1</v>
      </c>
      <c r="S8" s="9" t="n">
        <v>1</v>
      </c>
      <c r="T8" s="9" t="n">
        <v>1</v>
      </c>
      <c r="U8" s="9" t="n">
        <v>1</v>
      </c>
      <c r="V8" s="9" t="n">
        <v>1</v>
      </c>
      <c r="W8" s="9" t="n">
        <v>1</v>
      </c>
      <c r="X8" s="9" t="n">
        <v>9</v>
      </c>
      <c r="Y8" s="9" t="n">
        <v>2</v>
      </c>
      <c r="Z8" s="9" t="n"/>
      <c r="AA8" s="9" t="n">
        <v>3</v>
      </c>
      <c r="AB8" s="9" t="inlineStr">
        <is>
          <t>blind</t>
        </is>
      </c>
      <c r="AC8" s="9" t="n">
        <v>9</v>
      </c>
      <c r="AD8" s="9" t="inlineStr"/>
      <c r="AE8" s="9" t="inlineStr"/>
      <c r="AF8" s="9" t="inlineStr"/>
      <c r="AG8" s="10" t="inlineStr">
        <is>
          <t>✓</t>
        </is>
      </c>
      <c r="AH8" s="9" t="inlineStr"/>
      <c r="AI8" s="9" t="n">
        <v>9</v>
      </c>
      <c r="AJ8" s="9" t="n">
        <v>50</v>
      </c>
      <c r="AK8" s="9" t="n">
        <v>10</v>
      </c>
      <c r="AL8" s="9" t="n">
        <v>10</v>
      </c>
      <c r="AM8" s="9" t="n">
        <v>10</v>
      </c>
      <c r="AN8" s="9" t="n">
        <v>10</v>
      </c>
      <c r="AO8" s="9" t="n">
        <v>10</v>
      </c>
      <c r="AP8" s="6">
        <f>(AK8*5+AL8*4+AM8*3+AN8*2+AO8*1)/AJ8</f>
        <v/>
      </c>
      <c r="AQ8" s="9" t="n">
        <v>10</v>
      </c>
      <c r="AR8" s="9" t="n">
        <v>10</v>
      </c>
      <c r="AS8" s="9" t="n">
        <v>10</v>
      </c>
      <c r="AT8" s="9" t="n">
        <v>10</v>
      </c>
      <c r="AU8" s="9" t="n">
        <v>10</v>
      </c>
      <c r="AV8" s="6">
        <f>(AQ8*5+AR8*4+AS8*3+AT8*2+AU8*1)/AJ8</f>
        <v/>
      </c>
      <c r="AW8" s="9" t="n">
        <v>10</v>
      </c>
      <c r="AX8" s="9" t="n">
        <v>10</v>
      </c>
      <c r="AY8" s="9" t="n">
        <v>10</v>
      </c>
      <c r="AZ8" s="9" t="n">
        <v>10</v>
      </c>
      <c r="BA8" s="9" t="n">
        <v>10</v>
      </c>
      <c r="BB8" s="6">
        <f>(AW8*5+AX8*4+AY8*3+AZ8*2+BA8*1)/AJ8</f>
        <v/>
      </c>
      <c r="BC8" s="7">
        <f>AVERAGE(AP8,AV8,BB8)</f>
        <v/>
      </c>
      <c r="BD8" s="9" t="inlineStr"/>
      <c r="BE8" s="9" t="inlineStr"/>
      <c r="BF8" s="9" t="inlineStr">
        <is>
          <t>P 31,500.00</t>
        </is>
      </c>
      <c r="BG8" s="9" t="inlineStr">
        <is>
          <t>none</t>
        </is>
      </c>
      <c r="BH8" s="9" t="inlineStr"/>
      <c r="BI8" s="2" t="n"/>
    </row>
    <row r="9" ht="70" customHeight="1">
      <c r="A9" s="9" t="n">
        <v>6</v>
      </c>
      <c r="B9" s="9" t="inlineStr"/>
      <c r="C9" s="9" t="inlineStr">
        <is>
          <t>DEPARTMENT OF CRIMINOLOGY</t>
        </is>
      </c>
      <c r="D9" s="9" t="inlineStr">
        <is>
          <t>Arman C. Maribojo</t>
        </is>
      </c>
      <c r="E9" s="9" t="inlineStr">
        <is>
          <t>DC@gmail.com</t>
        </is>
      </c>
      <c r="F9" s="9" t="inlineStr">
        <is>
          <t>Bachelor of Science in Criminology</t>
        </is>
      </c>
      <c r="G9" s="9" t="inlineStr">
        <is>
          <t>BJMP</t>
        </is>
      </c>
      <c r="H9" s="9" t="inlineStr">
        <is>
          <t>Arman C. Maribojo</t>
        </is>
      </c>
      <c r="I9" s="9" t="inlineStr">
        <is>
          <t>Internal Funded Extension Projects</t>
        </is>
      </c>
      <c r="J9" s="9" t="inlineStr"/>
      <c r="K9" s="9" t="inlineStr">
        <is>
          <t>CRIM Preliminaries and First Aid Training at Disaster Risk Reduction Management Office- Bacoor Government Center</t>
        </is>
      </c>
      <c r="L9" s="9" t="inlineStr">
        <is>
          <t>December 1-5, 2025</t>
        </is>
      </c>
      <c r="M9" s="9" t="inlineStr">
        <is>
          <t>BJMP</t>
        </is>
      </c>
      <c r="N9" s="9" t="n">
        <v>21</v>
      </c>
      <c r="O9" s="9" t="n">
        <v>29</v>
      </c>
      <c r="P9" s="9" t="n">
        <v>9</v>
      </c>
      <c r="Q9" s="9" t="n">
        <v>3</v>
      </c>
      <c r="R9" s="9" t="n">
        <v>1</v>
      </c>
      <c r="S9" s="9" t="n">
        <v>1</v>
      </c>
      <c r="T9" s="9" t="n">
        <v>1</v>
      </c>
      <c r="U9" s="9" t="n">
        <v>1</v>
      </c>
      <c r="V9" s="9" t="n">
        <v>1</v>
      </c>
      <c r="W9" s="9" t="n">
        <v>1</v>
      </c>
      <c r="X9" s="9" t="n">
        <v>9</v>
      </c>
      <c r="Y9" s="9" t="n">
        <v>2</v>
      </c>
      <c r="Z9" s="9" t="n"/>
      <c r="AA9" s="9" t="n">
        <v>3</v>
      </c>
      <c r="AB9" s="9" t="inlineStr">
        <is>
          <t>blind</t>
        </is>
      </c>
      <c r="AC9" s="9" t="n">
        <v>9</v>
      </c>
      <c r="AD9" s="10" t="inlineStr">
        <is>
          <t>✓</t>
        </is>
      </c>
      <c r="AE9" s="9" t="inlineStr"/>
      <c r="AF9" s="9" t="inlineStr"/>
      <c r="AG9" s="9" t="inlineStr"/>
      <c r="AH9" s="9" t="inlineStr"/>
      <c r="AI9" s="9" t="n">
        <v>18</v>
      </c>
      <c r="AJ9" s="9" t="n">
        <v>50</v>
      </c>
      <c r="AK9" s="9" t="n">
        <v>10</v>
      </c>
      <c r="AL9" s="9" t="n">
        <v>10</v>
      </c>
      <c r="AM9" s="9" t="n">
        <v>10</v>
      </c>
      <c r="AN9" s="9" t="n">
        <v>10</v>
      </c>
      <c r="AO9" s="9" t="n">
        <v>10</v>
      </c>
      <c r="AP9" s="6">
        <f>(AK9*5+AL9*4+AM9*3+AN9*2+AO9*1)/AJ9</f>
        <v/>
      </c>
      <c r="AQ9" s="9" t="n">
        <v>10</v>
      </c>
      <c r="AR9" s="9" t="n">
        <v>10</v>
      </c>
      <c r="AS9" s="9" t="n">
        <v>10</v>
      </c>
      <c r="AT9" s="9" t="n">
        <v>10</v>
      </c>
      <c r="AU9" s="9" t="n">
        <v>10</v>
      </c>
      <c r="AV9" s="6">
        <f>(AQ9*5+AR9*4+AS9*3+AT9*2+AU9*1)/AJ9</f>
        <v/>
      </c>
      <c r="AW9" s="9" t="n">
        <v>10</v>
      </c>
      <c r="AX9" s="9" t="n">
        <v>10</v>
      </c>
      <c r="AY9" s="9" t="n">
        <v>10</v>
      </c>
      <c r="AZ9" s="9" t="n">
        <v>10</v>
      </c>
      <c r="BA9" s="9" t="n">
        <v>10</v>
      </c>
      <c r="BB9" s="6">
        <f>(AW9*5+AX9*4+AY9*3+AZ9*2+BA9*1)/AJ9</f>
        <v/>
      </c>
      <c r="BC9" s="7">
        <f>AVERAGE(AP9,AV9,BB9)</f>
        <v/>
      </c>
      <c r="BD9" s="9" t="inlineStr"/>
      <c r="BE9" s="9" t="inlineStr"/>
      <c r="BF9" s="9" t="inlineStr">
        <is>
          <t>P 31,500.00</t>
        </is>
      </c>
      <c r="BG9" s="9" t="inlineStr">
        <is>
          <t>12,000</t>
        </is>
      </c>
      <c r="BH9" s="9" t="inlineStr"/>
      <c r="BI9" s="2" t="n"/>
    </row>
    <row r="10" ht="70" customHeight="1">
      <c r="A10" s="11" t="n">
        <v>7</v>
      </c>
      <c r="B10" s="11" t="inlineStr"/>
      <c r="C10" s="11" t="inlineStr">
        <is>
          <t>DEPARTMENT OF MANAGEMENT STUDIES (BM)</t>
        </is>
      </c>
      <c r="D10" s="11" t="inlineStr">
        <is>
          <t>Rosette P. Sarmiento</t>
        </is>
      </c>
      <c r="E10" s="11" t="inlineStr">
        <is>
          <t>DMS@gmail.com</t>
        </is>
      </c>
      <c r="F10" s="11" t="inlineStr">
        <is>
          <t>Bachelor of Science in Business Management</t>
        </is>
      </c>
      <c r="G10" s="11" t="inlineStr">
        <is>
          <t>BJMP</t>
        </is>
      </c>
      <c r="H10" s="11" t="inlineStr">
        <is>
          <t>Rosette P. Sarmiento</t>
        </is>
      </c>
      <c r="I10" s="11" t="inlineStr">
        <is>
          <t>Internal Funded Extension Projects</t>
        </is>
      </c>
      <c r="J10" s="11" t="inlineStr"/>
      <c r="K10" s="11" t="inlineStr">
        <is>
          <t>CRIM Preliminaries and First Aid Training at Disaster Risk Reduction Management Office- Bacoor Government Center</t>
        </is>
      </c>
      <c r="L10" s="11" t="inlineStr">
        <is>
          <t>December 1-5, 2025</t>
        </is>
      </c>
      <c r="M10" s="11" t="inlineStr">
        <is>
          <t>BJMP</t>
        </is>
      </c>
      <c r="N10" s="11" t="n">
        <v>21</v>
      </c>
      <c r="O10" s="11" t="n">
        <v>29</v>
      </c>
      <c r="P10" s="11" t="n">
        <v>9</v>
      </c>
      <c r="Q10" s="11" t="n">
        <v>3</v>
      </c>
      <c r="R10" s="11" t="n">
        <v>1</v>
      </c>
      <c r="S10" s="11" t="n">
        <v>1</v>
      </c>
      <c r="T10" s="11" t="n">
        <v>1</v>
      </c>
      <c r="U10" s="11" t="n">
        <v>1</v>
      </c>
      <c r="V10" s="11" t="n">
        <v>1</v>
      </c>
      <c r="W10" s="11" t="n">
        <v>1</v>
      </c>
      <c r="X10" s="11" t="n">
        <v>9</v>
      </c>
      <c r="Y10" s="11" t="n">
        <v>2</v>
      </c>
      <c r="Z10" s="11" t="n"/>
      <c r="AA10" s="11" t="n">
        <v>3</v>
      </c>
      <c r="AB10" s="11" t="inlineStr">
        <is>
          <t>blind</t>
        </is>
      </c>
      <c r="AC10" s="11" t="n">
        <v>9</v>
      </c>
      <c r="AD10" s="11" t="inlineStr"/>
      <c r="AE10" s="12" t="inlineStr">
        <is>
          <t>✓</t>
        </is>
      </c>
      <c r="AF10" s="11" t="inlineStr"/>
      <c r="AG10" s="11" t="inlineStr"/>
      <c r="AH10" s="11" t="inlineStr"/>
      <c r="AI10" s="11" t="n">
        <v>13.5</v>
      </c>
      <c r="AJ10" s="11" t="n">
        <v>50</v>
      </c>
      <c r="AK10" s="11" t="n">
        <v>30</v>
      </c>
      <c r="AL10" s="11" t="n">
        <v>20</v>
      </c>
      <c r="AM10" s="11" t="n">
        <v>0</v>
      </c>
      <c r="AN10" s="11" t="n">
        <v>0</v>
      </c>
      <c r="AO10" s="11" t="n">
        <v>0</v>
      </c>
      <c r="AP10" s="6">
        <f>(AK10*5+AL10*4+AM10*3+AN10*2+AO10*1)/AJ10</f>
        <v/>
      </c>
      <c r="AQ10" s="11" t="n">
        <v>10</v>
      </c>
      <c r="AR10" s="11" t="n">
        <v>10</v>
      </c>
      <c r="AS10" s="11" t="n">
        <v>10</v>
      </c>
      <c r="AT10" s="11" t="n">
        <v>10</v>
      </c>
      <c r="AU10" s="11" t="n">
        <v>10</v>
      </c>
      <c r="AV10" s="6">
        <f>(AQ10*5+AR10*4+AS10*3+AT10*2+AU10*1)/AJ10</f>
        <v/>
      </c>
      <c r="AW10" s="11" t="n">
        <v>10</v>
      </c>
      <c r="AX10" s="11" t="n">
        <v>10</v>
      </c>
      <c r="AY10" s="11" t="n">
        <v>10</v>
      </c>
      <c r="AZ10" s="11" t="n">
        <v>10</v>
      </c>
      <c r="BA10" s="11" t="n">
        <v>10</v>
      </c>
      <c r="BB10" s="6">
        <f>(AW10*5+AX10*4+AY10*3+AZ10*2+BA10*1)/AJ10</f>
        <v/>
      </c>
      <c r="BC10" s="7">
        <f>AVERAGE(AP10,AV10,BB10)</f>
        <v/>
      </c>
      <c r="BD10" s="11" t="inlineStr"/>
      <c r="BE10" s="11" t="inlineStr"/>
      <c r="BF10" s="11" t="inlineStr">
        <is>
          <t>P 31,500.00</t>
        </is>
      </c>
      <c r="BG10" s="11" t="inlineStr">
        <is>
          <t>12,000</t>
        </is>
      </c>
      <c r="BH10" s="11" t="inlineStr"/>
      <c r="BI10" s="2" t="n"/>
    </row>
    <row r="11" ht="70" customHeight="1">
      <c r="A11" s="11" t="n">
        <v>8</v>
      </c>
      <c r="B11" s="11" t="inlineStr"/>
      <c r="C11" s="11" t="inlineStr">
        <is>
          <t>DEPARTMENT OF MANAGEMENT STUDIES (BM)</t>
        </is>
      </c>
      <c r="D11" s="11" t="inlineStr">
        <is>
          <t>Rosette P. Sarmiento</t>
        </is>
      </c>
      <c r="E11" s="11" t="inlineStr">
        <is>
          <t>DMS@gmail.com</t>
        </is>
      </c>
      <c r="F11" s="11" t="inlineStr">
        <is>
          <t>Bachelor of Science in Business Management</t>
        </is>
      </c>
      <c r="G11" s="11" t="inlineStr">
        <is>
          <t>BJMP</t>
        </is>
      </c>
      <c r="H11" s="11" t="inlineStr">
        <is>
          <t>Rosette P. Sarmiento</t>
        </is>
      </c>
      <c r="I11" s="11" t="inlineStr">
        <is>
          <t>Internal Funded Extension Projects</t>
        </is>
      </c>
      <c r="J11" s="11" t="inlineStr"/>
      <c r="K11" s="11" t="inlineStr">
        <is>
          <t>Session 1: 𝗣𝗲𝗿𝗳𝘂𝗺𝗲 𝗖𝗼𝘀𝘁𝗶𝗻𝗴 𝗧𝗿𝗮𝗶𝗻𝗶𝗻𝗴</t>
        </is>
      </c>
      <c r="L11" s="11" t="inlineStr">
        <is>
          <t>April 12, 2025</t>
        </is>
      </c>
      <c r="M11" s="11" t="inlineStr">
        <is>
          <t>BJMP</t>
        </is>
      </c>
      <c r="N11" s="11" t="n">
        <v>21</v>
      </c>
      <c r="O11" s="11" t="n">
        <v>29</v>
      </c>
      <c r="P11" s="11" t="n">
        <v>9</v>
      </c>
      <c r="Q11" s="11" t="n">
        <v>3</v>
      </c>
      <c r="R11" s="11" t="n">
        <v>1</v>
      </c>
      <c r="S11" s="11" t="n">
        <v>1</v>
      </c>
      <c r="T11" s="11" t="n">
        <v>1</v>
      </c>
      <c r="U11" s="11" t="n">
        <v>1</v>
      </c>
      <c r="V11" s="11" t="n">
        <v>1</v>
      </c>
      <c r="W11" s="11" t="n">
        <v>1</v>
      </c>
      <c r="X11" s="11" t="n">
        <v>9</v>
      </c>
      <c r="Y11" s="11" t="n">
        <v>2</v>
      </c>
      <c r="Z11" s="11" t="n"/>
      <c r="AA11" s="11" t="n">
        <v>3</v>
      </c>
      <c r="AB11" s="11" t="inlineStr">
        <is>
          <t>blind</t>
        </is>
      </c>
      <c r="AC11" s="11" t="n">
        <v>9</v>
      </c>
      <c r="AD11" s="11" t="inlineStr"/>
      <c r="AE11" s="11" t="inlineStr"/>
      <c r="AF11" s="11" t="inlineStr"/>
      <c r="AG11" s="11" t="inlineStr"/>
      <c r="AH11" s="11" t="inlineStr"/>
      <c r="AI11" s="11" t="n">
        <v>4.5</v>
      </c>
      <c r="AJ11" s="11" t="n">
        <v>50</v>
      </c>
      <c r="AK11" s="11" t="n">
        <v>10</v>
      </c>
      <c r="AL11" s="11" t="n">
        <v>10</v>
      </c>
      <c r="AM11" s="11" t="n">
        <v>10</v>
      </c>
      <c r="AN11" s="11" t="n">
        <v>10</v>
      </c>
      <c r="AO11" s="11" t="n">
        <v>10</v>
      </c>
      <c r="AP11" s="6">
        <f>(AK11*5+AL11*4+AM11*3+AN11*2+AO11*1)/AJ11</f>
        <v/>
      </c>
      <c r="AQ11" s="11" t="n">
        <v>10</v>
      </c>
      <c r="AR11" s="11" t="n">
        <v>10</v>
      </c>
      <c r="AS11" s="11" t="n">
        <v>10</v>
      </c>
      <c r="AT11" s="11" t="n">
        <v>10</v>
      </c>
      <c r="AU11" s="11" t="n">
        <v>10</v>
      </c>
      <c r="AV11" s="6">
        <f>(AQ11*5+AR11*4+AS11*3+AT11*2+AU11*1)/AJ11</f>
        <v/>
      </c>
      <c r="AW11" s="11" t="n">
        <v>10</v>
      </c>
      <c r="AX11" s="11" t="n">
        <v>10</v>
      </c>
      <c r="AY11" s="11" t="n">
        <v>10</v>
      </c>
      <c r="AZ11" s="11" t="n">
        <v>10</v>
      </c>
      <c r="BA11" s="11" t="n">
        <v>10</v>
      </c>
      <c r="BB11" s="6">
        <f>(AW11*5+AX11*4+AY11*3+AZ11*2+BA11*1)/AJ11</f>
        <v/>
      </c>
      <c r="BC11" s="7">
        <f>AVERAGE(AP11,AV11,BB11)</f>
        <v/>
      </c>
      <c r="BD11" s="11" t="inlineStr"/>
      <c r="BE11" s="11" t="inlineStr"/>
      <c r="BF11" s="11" t="inlineStr">
        <is>
          <t>P 31,500.00</t>
        </is>
      </c>
      <c r="BG11" s="11" t="inlineStr">
        <is>
          <t>p 20,000.00</t>
        </is>
      </c>
      <c r="BH11" s="11" t="inlineStr"/>
      <c r="BI11" s="2" t="n"/>
    </row>
    <row r="12" ht="70" customHeight="1">
      <c r="A12" s="11" t="n">
        <v>9</v>
      </c>
      <c r="B12" s="11" t="inlineStr"/>
      <c r="C12" s="11" t="inlineStr">
        <is>
          <t>DEPARTMENT OF MANAGEMENT STUDIES (BM)</t>
        </is>
      </c>
      <c r="D12" s="11" t="inlineStr">
        <is>
          <t>Rosette P. Sarmiento</t>
        </is>
      </c>
      <c r="E12" s="11" t="inlineStr">
        <is>
          <t>DMS@gmail.com</t>
        </is>
      </c>
      <c r="F12" s="11" t="inlineStr">
        <is>
          <t>Bachelor of Science in Business Management</t>
        </is>
      </c>
      <c r="G12" s="11" t="inlineStr">
        <is>
          <t>Mambog</t>
        </is>
      </c>
      <c r="H12" s="11" t="inlineStr">
        <is>
          <t>Rosette P. Sarmiento</t>
        </is>
      </c>
      <c r="I12" s="11" t="inlineStr">
        <is>
          <t>Internal Funded Extension Projects</t>
        </is>
      </c>
      <c r="J12" s="11" t="inlineStr"/>
      <c r="K12" s="11" t="inlineStr">
        <is>
          <t>Upskilling the PDLs in their Journey towards Intellectual Freedom.</t>
        </is>
      </c>
      <c r="L12" s="11" t="inlineStr">
        <is>
          <t>June 8-10, 205</t>
        </is>
      </c>
      <c r="M12" s="11" t="inlineStr">
        <is>
          <t>Sm Bacoor</t>
        </is>
      </c>
      <c r="N12" s="11" t="n">
        <v>50</v>
      </c>
      <c r="O12" s="11" t="n">
        <v>0</v>
      </c>
      <c r="P12" s="11" t="n">
        <v>50</v>
      </c>
      <c r="Q12" s="11" t="n">
        <v>5</v>
      </c>
      <c r="R12" s="11" t="n">
        <v>7</v>
      </c>
      <c r="S12" s="11" t="n">
        <v>4</v>
      </c>
      <c r="T12" s="11" t="n">
        <v>2</v>
      </c>
      <c r="U12" s="11" t="n">
        <v>8</v>
      </c>
      <c r="V12" s="11" t="n">
        <v>9</v>
      </c>
      <c r="W12" s="11" t="n">
        <v>6</v>
      </c>
      <c r="X12" s="11" t="n">
        <v>50</v>
      </c>
      <c r="Y12" s="11" t="n">
        <v>2</v>
      </c>
      <c r="Z12" s="11" t="n"/>
      <c r="AA12" s="11" t="n">
        <v>3</v>
      </c>
      <c r="AB12" s="11" t="inlineStr">
        <is>
          <t>blind, PILAY</t>
        </is>
      </c>
      <c r="AC12" s="11" t="n">
        <v>50</v>
      </c>
      <c r="AD12" s="11" t="inlineStr"/>
      <c r="AE12" s="12" t="inlineStr">
        <is>
          <t>✓</t>
        </is>
      </c>
      <c r="AF12" s="11" t="inlineStr"/>
      <c r="AG12" s="11" t="inlineStr"/>
      <c r="AH12" s="11" t="inlineStr"/>
      <c r="AI12" s="11" t="n">
        <v>75</v>
      </c>
      <c r="AJ12" s="11" t="n">
        <v>50</v>
      </c>
      <c r="AK12" s="11" t="n">
        <v>10</v>
      </c>
      <c r="AL12" s="11" t="n">
        <v>10</v>
      </c>
      <c r="AM12" s="11" t="n">
        <v>10</v>
      </c>
      <c r="AN12" s="11" t="n">
        <v>10</v>
      </c>
      <c r="AO12" s="11" t="n">
        <v>10</v>
      </c>
      <c r="AP12" s="6">
        <f>(AK12*5+AL12*4+AM12*3+AN12*2+AO12*1)/AJ12</f>
        <v/>
      </c>
      <c r="AQ12" s="11" t="n">
        <v>10</v>
      </c>
      <c r="AR12" s="11" t="n">
        <v>10</v>
      </c>
      <c r="AS12" s="11" t="n">
        <v>10</v>
      </c>
      <c r="AT12" s="11" t="n">
        <v>10</v>
      </c>
      <c r="AU12" s="11" t="n">
        <v>10</v>
      </c>
      <c r="AV12" s="6">
        <f>(AQ12*5+AR12*4+AS12*3+AT12*2+AU12*1)/AJ12</f>
        <v/>
      </c>
      <c r="AW12" s="11" t="n">
        <v>10</v>
      </c>
      <c r="AX12" s="11" t="n">
        <v>10</v>
      </c>
      <c r="AY12" s="11" t="n">
        <v>10</v>
      </c>
      <c r="AZ12" s="11" t="n">
        <v>10</v>
      </c>
      <c r="BA12" s="11" t="n">
        <v>10</v>
      </c>
      <c r="BB12" s="6">
        <f>(AW12*5+AX12*4+AY12*3+AZ12*2+BA12*1)/AJ12</f>
        <v/>
      </c>
      <c r="BC12" s="7">
        <f>AVERAGE(AP12,AV12,BB12)</f>
        <v/>
      </c>
      <c r="BD12" s="11" t="inlineStr"/>
      <c r="BE12" s="11" t="inlineStr"/>
      <c r="BF12" s="11" t="inlineStr">
        <is>
          <t>P 31,500.00</t>
        </is>
      </c>
      <c r="BG12" s="11" t="inlineStr">
        <is>
          <t>none</t>
        </is>
      </c>
      <c r="BH12" s="11" t="inlineStr"/>
      <c r="BI12" s="2" t="n"/>
    </row>
    <row r="13" ht="70" customHeight="1">
      <c r="A13" s="11" t="n">
        <v>10</v>
      </c>
      <c r="B13" s="11" t="inlineStr"/>
      <c r="C13" s="11" t="inlineStr">
        <is>
          <t>DEPARTMENT OF MANAGEMENT STUDIES (BM)</t>
        </is>
      </c>
      <c r="D13" s="11" t="inlineStr">
        <is>
          <t>Rosette P. Sarmiento</t>
        </is>
      </c>
      <c r="E13" s="11" t="inlineStr">
        <is>
          <t>DMS@gmail.com</t>
        </is>
      </c>
      <c r="F13" s="11" t="inlineStr">
        <is>
          <t>Bachelor of Science in Business Management</t>
        </is>
      </c>
      <c r="G13" s="11" t="inlineStr">
        <is>
          <t>BJMP</t>
        </is>
      </c>
      <c r="H13" s="11" t="inlineStr">
        <is>
          <t>Rosette P. Sarmiento</t>
        </is>
      </c>
      <c r="I13" s="11" t="inlineStr">
        <is>
          <t>Internal Funded Extension Projects</t>
        </is>
      </c>
      <c r="J13" s="11" t="inlineStr"/>
      <c r="K13" s="11" t="inlineStr">
        <is>
          <t>Session 1: 𝗣𝗲𝗿𝗳𝘂𝗺𝗲 𝗖𝗼𝘀𝘁𝗶𝗻𝗴 𝗧𝗿𝗮𝗶𝗻𝗶𝗻𝗴</t>
        </is>
      </c>
      <c r="L13" s="11" t="inlineStr">
        <is>
          <t>April 12, 2025</t>
        </is>
      </c>
      <c r="M13" s="11" t="inlineStr">
        <is>
          <t>BJMP</t>
        </is>
      </c>
      <c r="N13" s="11" t="n">
        <v>21</v>
      </c>
      <c r="O13" s="11" t="n">
        <v>29</v>
      </c>
      <c r="P13" s="11" t="n">
        <v>9</v>
      </c>
      <c r="Q13" s="11" t="n">
        <v>3</v>
      </c>
      <c r="R13" s="11" t="n">
        <v>1</v>
      </c>
      <c r="S13" s="11" t="n">
        <v>1</v>
      </c>
      <c r="T13" s="11" t="n">
        <v>1</v>
      </c>
      <c r="U13" s="11" t="n">
        <v>1</v>
      </c>
      <c r="V13" s="11" t="n">
        <v>1</v>
      </c>
      <c r="W13" s="11" t="n">
        <v>1</v>
      </c>
      <c r="X13" s="11" t="n">
        <v>9</v>
      </c>
      <c r="Y13" s="11" t="n">
        <v>2</v>
      </c>
      <c r="Z13" s="11" t="n"/>
      <c r="AA13" s="11" t="n">
        <v>3</v>
      </c>
      <c r="AB13" s="11" t="inlineStr">
        <is>
          <t>blind</t>
        </is>
      </c>
      <c r="AC13" s="11" t="n">
        <v>9</v>
      </c>
      <c r="AD13" s="11" t="inlineStr"/>
      <c r="AE13" s="11" t="inlineStr"/>
      <c r="AF13" s="11" t="inlineStr"/>
      <c r="AG13" s="11" t="inlineStr"/>
      <c r="AH13" s="11" t="inlineStr"/>
      <c r="AI13" s="11" t="n">
        <v>4.5</v>
      </c>
      <c r="AJ13" s="11" t="n">
        <v>50</v>
      </c>
      <c r="AK13" s="11" t="n">
        <v>10</v>
      </c>
      <c r="AL13" s="11" t="n">
        <v>10</v>
      </c>
      <c r="AM13" s="11" t="n">
        <v>10</v>
      </c>
      <c r="AN13" s="11" t="n">
        <v>10</v>
      </c>
      <c r="AO13" s="11" t="n">
        <v>10</v>
      </c>
      <c r="AP13" s="6">
        <f>(AK13*5+AL13*4+AM13*3+AN13*2+AO13*1)/AJ13</f>
        <v/>
      </c>
      <c r="AQ13" s="11" t="n">
        <v>10</v>
      </c>
      <c r="AR13" s="11" t="n">
        <v>10</v>
      </c>
      <c r="AS13" s="11" t="n">
        <v>10</v>
      </c>
      <c r="AT13" s="11" t="n">
        <v>10</v>
      </c>
      <c r="AU13" s="11" t="n">
        <v>10</v>
      </c>
      <c r="AV13" s="6">
        <f>(AQ13*5+AR13*4+AS13*3+AT13*2+AU13*1)/AJ13</f>
        <v/>
      </c>
      <c r="AW13" s="11" t="n">
        <v>10</v>
      </c>
      <c r="AX13" s="11" t="n">
        <v>10</v>
      </c>
      <c r="AY13" s="11" t="n">
        <v>10</v>
      </c>
      <c r="AZ13" s="11" t="n">
        <v>10</v>
      </c>
      <c r="BA13" s="11" t="n">
        <v>10</v>
      </c>
      <c r="BB13" s="6">
        <f>(AW13*5+AX13*4+AY13*3+AZ13*2+BA13*1)/AJ13</f>
        <v/>
      </c>
      <c r="BC13" s="7">
        <f>AVERAGE(AP13,AV13,BB13)</f>
        <v/>
      </c>
      <c r="BD13" s="11" t="inlineStr"/>
      <c r="BE13" s="11" t="inlineStr"/>
      <c r="BF13" s="11" t="inlineStr">
        <is>
          <t>P 31,500.00</t>
        </is>
      </c>
      <c r="BG13" s="11" t="inlineStr">
        <is>
          <t>p 20,000.00</t>
        </is>
      </c>
      <c r="BH13" s="11" t="inlineStr"/>
      <c r="BI13" s="2" t="n"/>
    </row>
    <row r="14" ht="70" customHeight="1">
      <c r="A14" s="13" t="n">
        <v>11</v>
      </c>
      <c r="B14" s="13" t="inlineStr"/>
      <c r="C14" s="13" t="inlineStr">
        <is>
          <t>DEPARTMENT OF MANAGEMENT STUDIES (HM)</t>
        </is>
      </c>
      <c r="D14" s="13" t="inlineStr">
        <is>
          <t>Francis P. Paredes</t>
        </is>
      </c>
      <c r="E14" s="13" t="inlineStr">
        <is>
          <t>HM@gmail.com</t>
        </is>
      </c>
      <c r="F14" s="13" t="inlineStr">
        <is>
          <t>Bachelor of Science in Hospitality Management</t>
        </is>
      </c>
      <c r="G14" s="13" t="inlineStr">
        <is>
          <t>BJMP</t>
        </is>
      </c>
      <c r="H14" s="13" t="inlineStr">
        <is>
          <t>Francis P. Paredes</t>
        </is>
      </c>
      <c r="I14" s="13" t="inlineStr">
        <is>
          <t>Internal Funded Extension Projects</t>
        </is>
      </c>
      <c r="J14" s="13" t="inlineStr"/>
      <c r="K14" s="13" t="inlineStr">
        <is>
          <t>Session 1: 𝗣𝗲𝗿𝗳𝘂𝗺𝗲 𝗖𝗼𝘀𝘁𝗶𝗻𝗴 𝗧𝗿𝗮𝗶𝗻𝗶𝗻𝗴</t>
        </is>
      </c>
      <c r="L14" s="13" t="inlineStr">
        <is>
          <t>April 12, 2025</t>
        </is>
      </c>
      <c r="M14" s="13" t="inlineStr">
        <is>
          <t>BJMP</t>
        </is>
      </c>
      <c r="N14" s="13" t="n">
        <v>21</v>
      </c>
      <c r="O14" s="13" t="n">
        <v>29</v>
      </c>
      <c r="P14" s="13" t="n">
        <v>50</v>
      </c>
      <c r="Q14" s="13" t="n">
        <v>3</v>
      </c>
      <c r="R14" s="13" t="n">
        <v>1</v>
      </c>
      <c r="S14" s="13" t="n">
        <v>1</v>
      </c>
      <c r="T14" s="13" t="n">
        <v>1</v>
      </c>
      <c r="U14" s="13" t="n">
        <v>1</v>
      </c>
      <c r="V14" s="13" t="n">
        <v>1</v>
      </c>
      <c r="W14" s="13" t="n">
        <v>1</v>
      </c>
      <c r="X14" s="13" t="n">
        <v>50</v>
      </c>
      <c r="Y14" s="13" t="n">
        <v>2</v>
      </c>
      <c r="Z14" s="13" t="n"/>
      <c r="AA14" s="13" t="n">
        <v>3</v>
      </c>
      <c r="AB14" s="13" t="inlineStr">
        <is>
          <t>blind</t>
        </is>
      </c>
      <c r="AC14" s="13" t="n">
        <v>50</v>
      </c>
      <c r="AD14" s="13" t="inlineStr"/>
      <c r="AE14" s="13" t="inlineStr"/>
      <c r="AF14" s="13" t="inlineStr"/>
      <c r="AG14" s="13" t="inlineStr"/>
      <c r="AH14" s="13" t="inlineStr"/>
      <c r="AI14" s="13" t="n">
        <v>25</v>
      </c>
      <c r="AJ14" s="13" t="n">
        <v>50</v>
      </c>
      <c r="AK14" s="13" t="n">
        <v>10</v>
      </c>
      <c r="AL14" s="13" t="n">
        <v>10</v>
      </c>
      <c r="AM14" s="13" t="n">
        <v>10</v>
      </c>
      <c r="AN14" s="13" t="n">
        <v>10</v>
      </c>
      <c r="AO14" s="13" t="n">
        <v>10</v>
      </c>
      <c r="AP14" s="6">
        <f>(AK14*5+AL14*4+AM14*3+AN14*2+AO14*1)/AJ14</f>
        <v/>
      </c>
      <c r="AQ14" s="13" t="n">
        <v>10</v>
      </c>
      <c r="AR14" s="13" t="n">
        <v>10</v>
      </c>
      <c r="AS14" s="13" t="n">
        <v>10</v>
      </c>
      <c r="AT14" s="13" t="n">
        <v>10</v>
      </c>
      <c r="AU14" s="13" t="n">
        <v>10</v>
      </c>
      <c r="AV14" s="6">
        <f>(AQ14*5+AR14*4+AS14*3+AT14*2+AU14*1)/AJ14</f>
        <v/>
      </c>
      <c r="AW14" s="13" t="n">
        <v>10</v>
      </c>
      <c r="AX14" s="13" t="n">
        <v>10</v>
      </c>
      <c r="AY14" s="13" t="n">
        <v>10</v>
      </c>
      <c r="AZ14" s="13" t="n">
        <v>10</v>
      </c>
      <c r="BA14" s="13" t="n">
        <v>10</v>
      </c>
      <c r="BB14" s="6">
        <f>(AW14*5+AX14*4+AY14*3+AZ14*2+BA14*1)/AJ14</f>
        <v/>
      </c>
      <c r="BC14" s="7">
        <f>AVERAGE(AP14,AV14,BB14)</f>
        <v/>
      </c>
      <c r="BD14" s="13" t="inlineStr"/>
      <c r="BE14" s="13" t="inlineStr"/>
      <c r="BF14" s="13" t="inlineStr">
        <is>
          <t>P 31,500.00</t>
        </is>
      </c>
      <c r="BG14" s="13" t="inlineStr">
        <is>
          <t>p 20,000.00</t>
        </is>
      </c>
      <c r="BH14" s="13" t="inlineStr"/>
      <c r="BI14" s="2" t="n"/>
    </row>
    <row r="15" ht="70" customHeight="1">
      <c r="A15" s="5" t="n">
        <v>12</v>
      </c>
      <c r="B15" s="5" t="inlineStr"/>
      <c r="C15" s="5" t="inlineStr">
        <is>
          <t>DEPARTMENT OF TEACHER EDUCATION</t>
        </is>
      </c>
      <c r="D15" s="5" t="inlineStr">
        <is>
          <t>Jay Anne F. Salles</t>
        </is>
      </c>
      <c r="E15" s="5" t="inlineStr">
        <is>
          <t>DTE@gmail.com</t>
        </is>
      </c>
      <c r="F15" s="5" t="inlineStr">
        <is>
          <t>Bachelor of Science in Secondary Education</t>
        </is>
      </c>
      <c r="G15" s="5" t="inlineStr">
        <is>
          <t>BJMP</t>
        </is>
      </c>
      <c r="H15" s="5" t="inlineStr">
        <is>
          <t>Jay Anne F. Salles</t>
        </is>
      </c>
      <c r="I15" s="5" t="inlineStr">
        <is>
          <t>Internal Funded Extension Projects</t>
        </is>
      </c>
      <c r="J15" s="5" t="inlineStr"/>
      <c r="K15" s="5" t="inlineStr">
        <is>
          <t>CRIM Preliminaries and First Aid Training at Disaster Risk Reduction Management Office- Bacoor Government Center</t>
        </is>
      </c>
      <c r="L15" s="5" t="inlineStr">
        <is>
          <t>December 1-5, 2025</t>
        </is>
      </c>
      <c r="M15" s="5" t="inlineStr">
        <is>
          <t>BJMP</t>
        </is>
      </c>
      <c r="N15" s="5" t="n">
        <v>21</v>
      </c>
      <c r="O15" s="5" t="n">
        <v>29</v>
      </c>
      <c r="P15" s="5" t="n">
        <v>9</v>
      </c>
      <c r="Q15" s="5" t="n">
        <v>3</v>
      </c>
      <c r="R15" s="5" t="n">
        <v>1</v>
      </c>
      <c r="S15" s="5" t="n">
        <v>1</v>
      </c>
      <c r="T15" s="5" t="n">
        <v>1</v>
      </c>
      <c r="U15" s="5" t="n">
        <v>1</v>
      </c>
      <c r="V15" s="5" t="n">
        <v>1</v>
      </c>
      <c r="W15" s="5" t="n">
        <v>1</v>
      </c>
      <c r="X15" s="5" t="n">
        <v>9</v>
      </c>
      <c r="Y15" s="5" t="n">
        <v>2</v>
      </c>
      <c r="Z15" s="5" t="n"/>
      <c r="AA15" s="5" t="n">
        <v>3</v>
      </c>
      <c r="AB15" s="5" t="inlineStr">
        <is>
          <t>blind</t>
        </is>
      </c>
      <c r="AC15" s="5" t="n">
        <v>9</v>
      </c>
      <c r="AD15" s="5" t="inlineStr"/>
      <c r="AE15" s="14" t="inlineStr">
        <is>
          <t>✓</t>
        </is>
      </c>
      <c r="AF15" s="5" t="inlineStr"/>
      <c r="AG15" s="5" t="inlineStr"/>
      <c r="AH15" s="5" t="inlineStr"/>
      <c r="AI15" s="5" t="n">
        <v>13.5</v>
      </c>
      <c r="AJ15" s="5" t="n">
        <v>50</v>
      </c>
      <c r="AK15" s="5" t="n">
        <v>30</v>
      </c>
      <c r="AL15" s="5" t="n">
        <v>20</v>
      </c>
      <c r="AM15" s="5" t="n">
        <v>0</v>
      </c>
      <c r="AN15" s="5" t="n">
        <v>0</v>
      </c>
      <c r="AO15" s="5" t="n">
        <v>0</v>
      </c>
      <c r="AP15" s="6">
        <f>(AK15*5+AL15*4+AM15*3+AN15*2+AO15*1)/AJ15</f>
        <v/>
      </c>
      <c r="AQ15" s="5" t="n">
        <v>10</v>
      </c>
      <c r="AR15" s="5" t="n">
        <v>10</v>
      </c>
      <c r="AS15" s="5" t="n">
        <v>10</v>
      </c>
      <c r="AT15" s="5" t="n">
        <v>10</v>
      </c>
      <c r="AU15" s="5" t="n">
        <v>10</v>
      </c>
      <c r="AV15" s="6">
        <f>(AQ15*5+AR15*4+AS15*3+AT15*2+AU15*1)/AJ15</f>
        <v/>
      </c>
      <c r="AW15" s="5" t="n">
        <v>10</v>
      </c>
      <c r="AX15" s="5" t="n">
        <v>10</v>
      </c>
      <c r="AY15" s="5" t="n">
        <v>10</v>
      </c>
      <c r="AZ15" s="5" t="n">
        <v>10</v>
      </c>
      <c r="BA15" s="5" t="n">
        <v>10</v>
      </c>
      <c r="BB15" s="6">
        <f>(AW15*5+AX15*4+AY15*3+AZ15*2+BA15*1)/AJ15</f>
        <v/>
      </c>
      <c r="BC15" s="7">
        <f>AVERAGE(AP15,AV15,BB15)</f>
        <v/>
      </c>
      <c r="BD15" s="5" t="inlineStr"/>
      <c r="BE15" s="5" t="inlineStr"/>
      <c r="BF15" s="5" t="inlineStr">
        <is>
          <t>P 31,500.00</t>
        </is>
      </c>
      <c r="BG15" s="5" t="inlineStr">
        <is>
          <t>12,000</t>
        </is>
      </c>
      <c r="BH15" s="5" t="inlineStr"/>
      <c r="BI15" s="2" t="n"/>
    </row>
    <row r="16" ht="70" customHeight="1">
      <c r="A16" s="5" t="n">
        <v>13</v>
      </c>
      <c r="B16" s="5" t="inlineStr"/>
      <c r="C16" s="5" t="inlineStr">
        <is>
          <t>DEPARTMENT OF TEACHER EDUCATION</t>
        </is>
      </c>
      <c r="D16" s="5" t="inlineStr">
        <is>
          <t>Jay Anne F. Salles</t>
        </is>
      </c>
      <c r="E16" s="5" t="inlineStr">
        <is>
          <t>DTE@gmail.com</t>
        </is>
      </c>
      <c r="F16" s="5" t="inlineStr">
        <is>
          <t>Bachelor of Science in Secondary Education</t>
        </is>
      </c>
      <c r="G16" s="5" t="inlineStr">
        <is>
          <t>CANVA</t>
        </is>
      </c>
      <c r="H16" s="5" t="inlineStr">
        <is>
          <t>Jay Anne F. Salles</t>
        </is>
      </c>
      <c r="I16" s="5" t="inlineStr">
        <is>
          <t>Internal Funded Extension Projects</t>
        </is>
      </c>
      <c r="J16" s="5" t="inlineStr"/>
      <c r="K16" s="5" t="inlineStr">
        <is>
          <t>CLASSES Consultative Meeting at Mambog Elementary School</t>
        </is>
      </c>
      <c r="L16" s="5" t="inlineStr">
        <is>
          <t>June 9, 2025</t>
        </is>
      </c>
      <c r="M16" s="5" t="inlineStr">
        <is>
          <t>3rd Floor, CvSU Bacoor New Academic building</t>
        </is>
      </c>
      <c r="N16" s="5" t="n">
        <v>21</v>
      </c>
      <c r="O16" s="5" t="n">
        <v>29</v>
      </c>
      <c r="P16" s="5" t="n">
        <v>9</v>
      </c>
      <c r="Q16" s="5" t="n">
        <v>3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9</v>
      </c>
      <c r="Y16" s="5" t="n">
        <v>2</v>
      </c>
      <c r="Z16" s="5" t="n"/>
      <c r="AA16" s="5" t="n">
        <v>3</v>
      </c>
      <c r="AB16" s="5" t="inlineStr">
        <is>
          <t>blind</t>
        </is>
      </c>
      <c r="AC16" s="5" t="n">
        <v>9</v>
      </c>
      <c r="AD16" s="5" t="inlineStr"/>
      <c r="AE16" s="5" t="inlineStr"/>
      <c r="AF16" s="5" t="inlineStr"/>
      <c r="AG16" s="14" t="inlineStr">
        <is>
          <t>✓</t>
        </is>
      </c>
      <c r="AH16" s="5" t="inlineStr"/>
      <c r="AI16" s="5" t="n">
        <v>9</v>
      </c>
      <c r="AJ16" s="5" t="n">
        <v>50</v>
      </c>
      <c r="AK16" s="5" t="n">
        <v>10</v>
      </c>
      <c r="AL16" s="5" t="n">
        <v>10</v>
      </c>
      <c r="AM16" s="5" t="n">
        <v>10</v>
      </c>
      <c r="AN16" s="5" t="n">
        <v>10</v>
      </c>
      <c r="AO16" s="5" t="n">
        <v>10</v>
      </c>
      <c r="AP16" s="6">
        <f>(AK16*5+AL16*4+AM16*3+AN16*2+AO16*1)/AJ16</f>
        <v/>
      </c>
      <c r="AQ16" s="5" t="n">
        <v>10</v>
      </c>
      <c r="AR16" s="5" t="n">
        <v>10</v>
      </c>
      <c r="AS16" s="5" t="n">
        <v>10</v>
      </c>
      <c r="AT16" s="5" t="n">
        <v>10</v>
      </c>
      <c r="AU16" s="5" t="n">
        <v>10</v>
      </c>
      <c r="AV16" s="6">
        <f>(AQ16*5+AR16*4+AS16*3+AT16*2+AU16*1)/AJ16</f>
        <v/>
      </c>
      <c r="AW16" s="5" t="n">
        <v>10</v>
      </c>
      <c r="AX16" s="5" t="n">
        <v>10</v>
      </c>
      <c r="AY16" s="5" t="n">
        <v>10</v>
      </c>
      <c r="AZ16" s="5" t="n">
        <v>10</v>
      </c>
      <c r="BA16" s="5" t="n">
        <v>10</v>
      </c>
      <c r="BB16" s="6">
        <f>(AW16*5+AX16*4+AY16*3+AZ16*2+BA16*1)/AJ16</f>
        <v/>
      </c>
      <c r="BC16" s="7">
        <f>AVERAGE(AP16,AV16,BB16)</f>
        <v/>
      </c>
      <c r="BD16" s="5" t="inlineStr"/>
      <c r="BE16" s="5" t="inlineStr"/>
      <c r="BF16" s="5" t="inlineStr">
        <is>
          <t>P 31,500.00</t>
        </is>
      </c>
      <c r="BG16" s="5" t="inlineStr">
        <is>
          <t>none</t>
        </is>
      </c>
      <c r="BH16" s="5" t="inlineStr"/>
      <c r="BI16" s="2" t="n"/>
    </row>
    <row r="17" ht="70" customHeight="1">
      <c r="A17" s="5" t="n">
        <v>14</v>
      </c>
      <c r="B17" s="5" t="inlineStr"/>
      <c r="C17" s="5" t="inlineStr">
        <is>
          <t>DEPARTMENT OF TEACHER EDUCATION</t>
        </is>
      </c>
      <c r="D17" s="5" t="inlineStr">
        <is>
          <t>Jay Anne F. Salles</t>
        </is>
      </c>
      <c r="E17" s="5" t="inlineStr">
        <is>
          <t>DTE@gmail.com</t>
        </is>
      </c>
      <c r="F17" s="5" t="inlineStr">
        <is>
          <t>Bachelor of Science in Secondary Education</t>
        </is>
      </c>
      <c r="G17" s="5" t="inlineStr">
        <is>
          <t>CANVA</t>
        </is>
      </c>
      <c r="H17" s="5" t="inlineStr">
        <is>
          <t>Jay Anne F. Salles</t>
        </is>
      </c>
      <c r="I17" s="5" t="inlineStr">
        <is>
          <t>Internal Funded Extension Projects</t>
        </is>
      </c>
      <c r="J17" s="5" t="inlineStr"/>
      <c r="K17" s="5" t="inlineStr">
        <is>
          <t>CLASSES Consultative Meeting at Mambog Elementary School</t>
        </is>
      </c>
      <c r="L17" s="5" t="inlineStr">
        <is>
          <t>June 9, 2025</t>
        </is>
      </c>
      <c r="M17" s="5" t="inlineStr">
        <is>
          <t>3rd Floor, CvSU Bacoor New Academic building</t>
        </is>
      </c>
      <c r="N17" s="5" t="n">
        <v>21</v>
      </c>
      <c r="O17" s="5" t="n">
        <v>29</v>
      </c>
      <c r="P17" s="5" t="n">
        <v>9</v>
      </c>
      <c r="Q17" s="5" t="n">
        <v>3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9</v>
      </c>
      <c r="Y17" s="5" t="n">
        <v>2</v>
      </c>
      <c r="Z17" s="5" t="n"/>
      <c r="AA17" s="5" t="n">
        <v>3</v>
      </c>
      <c r="AB17" s="5" t="inlineStr">
        <is>
          <t>blind</t>
        </is>
      </c>
      <c r="AC17" s="5" t="n">
        <v>9</v>
      </c>
      <c r="AD17" s="5" t="inlineStr"/>
      <c r="AE17" s="5" t="inlineStr"/>
      <c r="AF17" s="5" t="inlineStr"/>
      <c r="AG17" s="14" t="inlineStr">
        <is>
          <t>✓</t>
        </is>
      </c>
      <c r="AH17" s="5" t="inlineStr"/>
      <c r="AI17" s="5" t="n">
        <v>9</v>
      </c>
      <c r="AJ17" s="5" t="n">
        <v>50</v>
      </c>
      <c r="AK17" s="5" t="n">
        <v>10</v>
      </c>
      <c r="AL17" s="5" t="n">
        <v>10</v>
      </c>
      <c r="AM17" s="5" t="n">
        <v>10</v>
      </c>
      <c r="AN17" s="5" t="n">
        <v>10</v>
      </c>
      <c r="AO17" s="5" t="n">
        <v>10</v>
      </c>
      <c r="AP17" s="6">
        <f>(AK17*5+AL17*4+AM17*3+AN17*2+AO17*1)/AJ17</f>
        <v/>
      </c>
      <c r="AQ17" s="5" t="n">
        <v>10</v>
      </c>
      <c r="AR17" s="5" t="n">
        <v>10</v>
      </c>
      <c r="AS17" s="5" t="n">
        <v>10</v>
      </c>
      <c r="AT17" s="5" t="n">
        <v>10</v>
      </c>
      <c r="AU17" s="5" t="n">
        <v>10</v>
      </c>
      <c r="AV17" s="6">
        <f>(AQ17*5+AR17*4+AS17*3+AT17*2+AU17*1)/AJ17</f>
        <v/>
      </c>
      <c r="AW17" s="5" t="n">
        <v>10</v>
      </c>
      <c r="AX17" s="5" t="n">
        <v>10</v>
      </c>
      <c r="AY17" s="5" t="n">
        <v>10</v>
      </c>
      <c r="AZ17" s="5" t="n">
        <v>10</v>
      </c>
      <c r="BA17" s="5" t="n">
        <v>10</v>
      </c>
      <c r="BB17" s="6">
        <f>(AW17*5+AX17*4+AY17*3+AZ17*2+BA17*1)/AJ17</f>
        <v/>
      </c>
      <c r="BC17" s="7">
        <f>AVERAGE(AP17,AV17,BB17)</f>
        <v/>
      </c>
      <c r="BD17" s="5" t="inlineStr"/>
      <c r="BE17" s="5" t="inlineStr"/>
      <c r="BF17" s="5" t="inlineStr">
        <is>
          <t>P 31,500.00</t>
        </is>
      </c>
      <c r="BG17" s="5" t="inlineStr">
        <is>
          <t>none</t>
        </is>
      </c>
      <c r="BH17" s="5" t="inlineStr"/>
      <c r="BI17" s="2" t="n"/>
    </row>
    <row r="18" ht="70" customHeight="1">
      <c r="A18" s="5" t="n">
        <v>15</v>
      </c>
      <c r="B18" s="5" t="inlineStr"/>
      <c r="C18" s="5" t="inlineStr">
        <is>
          <t>DEPARTMENT OF TEACHER EDUCATION</t>
        </is>
      </c>
      <c r="D18" s="5" t="inlineStr">
        <is>
          <t>Jay Anne F. Salles</t>
        </is>
      </c>
      <c r="E18" s="5" t="inlineStr">
        <is>
          <t>DTE@gmail.com</t>
        </is>
      </c>
      <c r="F18" s="5" t="inlineStr">
        <is>
          <t>Bachelor of Science in Secondary Education</t>
        </is>
      </c>
      <c r="G18" s="5" t="inlineStr">
        <is>
          <t>Mambog</t>
        </is>
      </c>
      <c r="H18" s="5" t="inlineStr">
        <is>
          <t>Jay Anne F. Salles</t>
        </is>
      </c>
      <c r="I18" s="5" t="inlineStr">
        <is>
          <t>Internal Funded Extension Projects</t>
        </is>
      </c>
      <c r="J18" s="5" t="inlineStr"/>
      <c r="K18" s="5" t="inlineStr">
        <is>
          <t>Gawaran Annex of Bacoor National High School, Team Mathematics of the</t>
        </is>
      </c>
      <c r="L18" s="5" t="inlineStr">
        <is>
          <t>June 8-9, 2022</t>
        </is>
      </c>
      <c r="M18" s="5" t="inlineStr">
        <is>
          <t>Mambog</t>
        </is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/>
      <c r="Z18" s="5" t="n"/>
      <c r="AA18" s="5" t="n"/>
      <c r="AB18" s="5" t="inlineStr"/>
      <c r="AC18" s="5" t="n">
        <v>0</v>
      </c>
      <c r="AD18" s="5" t="inlineStr"/>
      <c r="AE18" s="5" t="inlineStr"/>
      <c r="AF18" s="14" t="inlineStr">
        <is>
          <t>✓</t>
        </is>
      </c>
      <c r="AG18" s="5" t="inlineStr"/>
      <c r="AH18" s="5" t="inlineStr"/>
      <c r="AI18" s="5" t="n">
        <v>0</v>
      </c>
      <c r="AJ18" s="5" t="n">
        <v>0</v>
      </c>
      <c r="AK18" s="5" t="n">
        <v>10</v>
      </c>
      <c r="AL18" s="5" t="n">
        <v>10</v>
      </c>
      <c r="AM18" s="5" t="n">
        <v>10</v>
      </c>
      <c r="AN18" s="5" t="n">
        <v>10</v>
      </c>
      <c r="AO18" s="5" t="n">
        <v>10</v>
      </c>
      <c r="AP18" s="6">
        <f>(AK18*5+AL18*4+AM18*3+AN18*2+AO18*1)/AJ18</f>
        <v/>
      </c>
      <c r="AQ18" s="5" t="n">
        <v>10</v>
      </c>
      <c r="AR18" s="5" t="n">
        <v>10</v>
      </c>
      <c r="AS18" s="5" t="n">
        <v>10</v>
      </c>
      <c r="AT18" s="5" t="n">
        <v>10</v>
      </c>
      <c r="AU18" s="5" t="n">
        <v>10</v>
      </c>
      <c r="AV18" s="6">
        <f>(AQ18*5+AR18*4+AS18*3+AT18*2+AU18*1)/AJ18</f>
        <v/>
      </c>
      <c r="AW18" s="5" t="n">
        <v>10</v>
      </c>
      <c r="AX18" s="5" t="n">
        <v>10</v>
      </c>
      <c r="AY18" s="5" t="n">
        <v>10</v>
      </c>
      <c r="AZ18" s="5" t="n">
        <v>10</v>
      </c>
      <c r="BA18" s="5" t="n">
        <v>10</v>
      </c>
      <c r="BB18" s="6">
        <f>(AW18*5+AX18*4+AY18*3+AZ18*2+BA18*1)/AJ18</f>
        <v/>
      </c>
      <c r="BC18" s="7">
        <f>AVERAGE(AP18,AV18,BB18)</f>
        <v/>
      </c>
      <c r="BD18" s="5" t="inlineStr"/>
      <c r="BE18" s="5" t="inlineStr"/>
      <c r="BF18" s="5" t="inlineStr">
        <is>
          <t>0</t>
        </is>
      </c>
      <c r="BG18" s="5" t="inlineStr">
        <is>
          <t>0</t>
        </is>
      </c>
      <c r="BH18" s="5" t="inlineStr"/>
      <c r="BI18" s="2" t="n"/>
    </row>
  </sheetData>
  <mergeCells count="26">
    <mergeCell ref="N2:P2"/>
    <mergeCell ref="BD2:BD3"/>
    <mergeCell ref="M2:M3"/>
    <mergeCell ref="B2:B3"/>
    <mergeCell ref="J2"/>
    <mergeCell ref="AQ2:AV2"/>
    <mergeCell ref="C2:E2"/>
    <mergeCell ref="A2:A3"/>
    <mergeCell ref="I2"/>
    <mergeCell ref="K2:K3"/>
    <mergeCell ref="BE2:BE3"/>
    <mergeCell ref="AK2:AP2"/>
    <mergeCell ref="BF2:BH2"/>
    <mergeCell ref="AD2:AH2"/>
    <mergeCell ref="Y2:AB2"/>
    <mergeCell ref="AC2:AC3"/>
    <mergeCell ref="AI2:AI3"/>
    <mergeCell ref="L2:L3"/>
    <mergeCell ref="AW2:BB2"/>
    <mergeCell ref="F2"/>
    <mergeCell ref="A1:BI1"/>
    <mergeCell ref="H2"/>
    <mergeCell ref="Q2:X2"/>
    <mergeCell ref="G2:G3"/>
    <mergeCell ref="AJ2:AJ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2025-11-22T04:03:45Z</dcterms:created>
  <dcterms:modified xmlns:dcterms="http://purl.org/dc/terms/" xmlns:xsi="http://www.w3.org/2001/XMLSchema-instance" xsi:type="dcterms:W3CDTF">2025-11-22T04:03:45Z</dcterms:modified>
</cp:coreProperties>
</file>